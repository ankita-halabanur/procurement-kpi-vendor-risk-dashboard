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cuments\Procurement_Project\"/>
    </mc:Choice>
  </mc:AlternateContent>
  <xr:revisionPtr revIDLastSave="0" documentId="8_{9171F577-77C5-49F8-A08B-305455498B9E}" xr6:coauthVersionLast="47" xr6:coauthVersionMax="47" xr10:uidLastSave="{00000000-0000-0000-0000-000000000000}"/>
  <bookViews>
    <workbookView xWindow="-120" yWindow="-120" windowWidth="20730" windowHeight="11160" xr2:uid="{F4EE4DDD-B765-41C7-BAD6-4D50113D828E}"/>
  </bookViews>
  <sheets>
    <sheet name="Vendor_Scorecard" sheetId="8" r:id="rId1"/>
    <sheet name="Query6_Compliance_Rate" sheetId="7" r:id="rId2"/>
    <sheet name="Query5_Monthly_Procurement" sheetId="6" r:id="rId3"/>
    <sheet name="Query4_Defect_Rate" sheetId="5" r:id="rId4"/>
    <sheet name="Query3_Cost_Savings" sheetId="4" r:id="rId5"/>
    <sheet name="Query2_Delivery_Rate" sheetId="3" r:id="rId6"/>
    <sheet name="Query1_Total_Spend" sheetId="2" r:id="rId7"/>
    <sheet name="Sheet1" sheetId="1" r:id="rId8"/>
  </sheets>
  <definedNames>
    <definedName name="ExternalData_1" localSheetId="6" hidden="1">Query1_Total_Spend!$A$1:$C$6</definedName>
    <definedName name="ExternalData_2" localSheetId="5" hidden="1">Query2_Delivery_Rate!$A$1:$D$6</definedName>
    <definedName name="ExternalData_3" localSheetId="4" hidden="1">Query3_Cost_Savings!$A$1:$E$6</definedName>
    <definedName name="ExternalData_4" localSheetId="3" hidden="1">Query4_Defect_Rate!$A$1:$D$6</definedName>
    <definedName name="ExternalData_5" localSheetId="2" hidden="1">Query5_Monthly_Procurement!$A$1:$C$26</definedName>
    <definedName name="ExternalData_6" localSheetId="1" hidden="1">Query6_Compliance_Rate!$A$1:$D$6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2" i="8"/>
  <c r="E3" i="8"/>
  <c r="E4" i="8"/>
  <c r="E5" i="8"/>
  <c r="E6" i="8"/>
  <c r="E2" i="8"/>
  <c r="D3" i="8"/>
  <c r="D4" i="8"/>
  <c r="D5" i="8"/>
  <c r="D6" i="8"/>
  <c r="D2" i="8"/>
  <c r="C6" i="8"/>
  <c r="C3" i="8"/>
  <c r="C4" i="8"/>
  <c r="C5" i="8"/>
  <c r="C2" i="8"/>
  <c r="B3" i="8"/>
  <c r="B4" i="8"/>
  <c r="B5" i="8"/>
  <c r="B6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FDC27-96B9-4790-8624-E2B959B0985F}" keepAlive="1" name="Query - Query1_Total_Spend" description="Connection to the 'Query1_Total_Spend' query in the workbook." type="5" refreshedVersion="7" background="1" saveData="1">
    <dbPr connection="Provider=Microsoft.Mashup.OleDb.1;Data Source=$Workbook$;Location=Query1_Total_Spend;Extended Properties=&quot;&quot;" command="SELECT * FROM [Query1_Total_Spend]"/>
  </connection>
  <connection id="2" xr16:uid="{01F9F7B4-CC28-4D36-8950-FB2567DE4401}" keepAlive="1" name="Query - Query2_Delivery_Rate" description="Connection to the 'Query2_Delivery_Rate' query in the workbook." type="5" refreshedVersion="7" background="1" saveData="1">
    <dbPr connection="Provider=Microsoft.Mashup.OleDb.1;Data Source=$Workbook$;Location=Query2_Delivery_Rate;Extended Properties=&quot;&quot;" command="SELECT * FROM [Query2_Delivery_Rate]"/>
  </connection>
  <connection id="3" xr16:uid="{10827D56-3549-4540-99DF-8A30624077A0}" keepAlive="1" name="Query - Query3_Cost_Savings" description="Connection to the 'Query3_Cost_Savings' query in the workbook." type="5" refreshedVersion="7" background="1" saveData="1">
    <dbPr connection="Provider=Microsoft.Mashup.OleDb.1;Data Source=$Workbook$;Location=Query3_Cost_Savings;Extended Properties=&quot;&quot;" command="SELECT * FROM [Query3_Cost_Savings]"/>
  </connection>
  <connection id="4" xr16:uid="{F4C42C0C-CD9D-422D-A397-FED75CB31255}" keepAlive="1" name="Query - Query4_Defect_Rate" description="Connection to the 'Query4_Defect_Rate' query in the workbook." type="5" refreshedVersion="7" background="1" saveData="1">
    <dbPr connection="Provider=Microsoft.Mashup.OleDb.1;Data Source=$Workbook$;Location=Query4_Defect_Rate;Extended Properties=&quot;&quot;" command="SELECT * FROM [Query4_Defect_Rate]"/>
  </connection>
  <connection id="5" xr16:uid="{1C57D358-AE17-46F9-AA26-B94C8C222D18}" keepAlive="1" name="Query - Query5_Monthly_Procurement" description="Connection to the 'Query5_Monthly_Procurement' query in the workbook." type="5" refreshedVersion="7" background="1" saveData="1">
    <dbPr connection="Provider=Microsoft.Mashup.OleDb.1;Data Source=$Workbook$;Location=Query5_Monthly_Procurement;Extended Properties=&quot;&quot;" command="SELECT * FROM [Query5_Monthly_Procurement]"/>
  </connection>
  <connection id="6" xr16:uid="{9C72C0DD-2A57-41D5-9EF2-AD92E4F24774}" keepAlive="1" name="Query - Query6_Compliance_Rate" description="Connection to the 'Query6_Compliance_Rate' query in the workbook." type="5" refreshedVersion="7" background="1" saveData="1">
    <dbPr connection="Provider=Microsoft.Mashup.OleDb.1;Data Source=$Workbook$;Location=Query6_Compliance_Rate;Extended Properties=&quot;&quot;" command="SELECT * FROM [Query6_Compliance_Rate]"/>
  </connection>
</connections>
</file>

<file path=xl/sharedStrings.xml><?xml version="1.0" encoding="utf-8"?>
<sst xmlns="http://schemas.openxmlformats.org/spreadsheetml/2006/main" count="59" uniqueCount="25">
  <si>
    <t>Supplier</t>
  </si>
  <si>
    <t>Total_Orders</t>
  </si>
  <si>
    <t>Total_Spend</t>
  </si>
  <si>
    <t>Beta_Supplies</t>
  </si>
  <si>
    <t>Epsilon_Group</t>
  </si>
  <si>
    <t>Delta_Logistics</t>
  </si>
  <si>
    <t>Gamma_Co</t>
  </si>
  <si>
    <t>Alpha_Inc</t>
  </si>
  <si>
    <t>OnTime_Delivered</t>
  </si>
  <si>
    <t>Delivery_Rate_Percent</t>
  </si>
  <si>
    <t>Original_Cost</t>
  </si>
  <si>
    <t>Negotiated_Cost</t>
  </si>
  <si>
    <t>Total_Savings</t>
  </si>
  <si>
    <t>Savings_Percent</t>
  </si>
  <si>
    <t>Total_Units</t>
  </si>
  <si>
    <t>Total_Defective</t>
  </si>
  <si>
    <t>Defect_Rate_Percent</t>
  </si>
  <si>
    <t>Order_Month</t>
  </si>
  <si>
    <t>Monthly_Spend</t>
  </si>
  <si>
    <t>Compliant_Orders</t>
  </si>
  <si>
    <t>Compliance_Rate_Percent</t>
  </si>
  <si>
    <t>OnTime_Rate</t>
  </si>
  <si>
    <t>Cost_Savings</t>
  </si>
  <si>
    <t>Defect_Rate</t>
  </si>
  <si>
    <t>Compliance_Rate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</si>
</sst>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 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AF3FDB2-CDA8-40F1-B06B-C36585545388}" autoFormatId="16" applyNumberFormats="0" applyBorderFormats="0" applyFontFormats="0" applyPatternFormats="0" applyAlignmentFormats="0" applyWidthHeightFormats="0">
  <queryTableRefresh nextId="5">
    <queryTableFields count="4">
      <queryTableField id="1" name="Supplier" tableColumnId="1"/>
      <queryTableField id="2" name="Total_Orders" tableColumnId="2"/>
      <queryTableField id="3" name="Compliant_Orders" tableColumnId="3"/>
      <queryTableField id="4" name="Compliance_Rate_Perc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49D2B9E-8E96-4178-BF12-E82A16D7953B}" autoFormatId="16" applyNumberFormats="0" applyBorderFormats="0" applyFontFormats="0" applyPatternFormats="0" applyAlignmentFormats="0" applyWidthHeightFormats="0">
  <queryTableRefresh nextId="4">
    <queryTableFields count="3">
      <queryTableField id="1" name="Order_Month" tableColumnId="1"/>
      <queryTableField id="2" name="Total_Orders" tableColumnId="2"/>
      <queryTableField id="3" name="Monthly_Spen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1CBF397-4026-4AB1-A4DC-BB4B6D8D53D9}" autoFormatId="16" applyNumberFormats="0" applyBorderFormats="0" applyFontFormats="0" applyPatternFormats="0" applyAlignmentFormats="0" applyWidthHeightFormats="0">
  <queryTableRefresh nextId="5">
    <queryTableFields count="4">
      <queryTableField id="1" name="Supplier" tableColumnId="1"/>
      <queryTableField id="2" name="Total_Units" tableColumnId="2"/>
      <queryTableField id="3" name="Total_Defective" tableColumnId="3"/>
      <queryTableField id="4" name="Defect_Rate_Perce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6D0F71-B8CE-4729-A07C-BFB0997E37A1}" autoFormatId="16" applyNumberFormats="0" applyBorderFormats="0" applyFontFormats="0" applyPatternFormats="0" applyAlignmentFormats="0" applyWidthHeightFormats="0">
  <queryTableRefresh nextId="6">
    <queryTableFields count="5">
      <queryTableField id="1" name="Supplier" tableColumnId="1"/>
      <queryTableField id="2" name="Original_Cost" tableColumnId="2"/>
      <queryTableField id="3" name="Negotiated_Cost" tableColumnId="3"/>
      <queryTableField id="4" name="Total_Savings" tableColumnId="4"/>
      <queryTableField id="5" name="Savings_Perce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0392495-1FFE-4127-9D30-661E74051F97}" autoFormatId="16" applyNumberFormats="0" applyBorderFormats="0" applyFontFormats="0" applyPatternFormats="0" applyAlignmentFormats="0" applyWidthHeightFormats="0">
  <queryTableRefresh nextId="5">
    <queryTableFields count="4">
      <queryTableField id="1" name="Supplier" tableColumnId="1"/>
      <queryTableField id="2" name="Total_Orders" tableColumnId="2"/>
      <queryTableField id="3" name="OnTime_Delivered" tableColumnId="3"/>
      <queryTableField id="4" name="Delivery_Rate_Percen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52EE05-6023-43D6-9CE2-5B698BE83ABE}" autoFormatId="16" applyNumberFormats="0" applyBorderFormats="0" applyFontFormats="0" applyPatternFormats="0" applyAlignmentFormats="0" applyWidthHeightFormats="0">
  <queryTableRefresh nextId="4">
    <queryTableFields count="3">
      <queryTableField id="1" name="Supplier" tableColumnId="1"/>
      <queryTableField id="2" name="Total_Orders" tableColumnId="2"/>
      <queryTableField id="3" name="Total_Spe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5717D0-9718-4C6B-A623-D3E6F401A146}" name="Query6_Compliance_Rate" displayName="Query6_Compliance_Rate" ref="A1:D6" tableType="queryTable" totalsRowShown="0">
  <autoFilter ref="A1:D6" xr:uid="{3D5717D0-9718-4C6B-A623-D3E6F401A146}"/>
  <tableColumns count="4">
    <tableColumn id="1" xr3:uid="{D3008804-3DD8-40DF-A907-972C0142B28C}" uniqueName="1" name="Supplier" queryTableFieldId="1" dataDxfId="4"/>
    <tableColumn id="2" xr3:uid="{2E14D09F-69B5-4F6D-9091-3916DB111F00}" uniqueName="2" name="Total_Orders" queryTableFieldId="2"/>
    <tableColumn id="3" xr3:uid="{2C7E6800-F0E0-459D-9165-C022CCEC2B2A}" uniqueName="3" name="Compliant_Orders" queryTableFieldId="3"/>
    <tableColumn id="4" xr3:uid="{48B798BA-F0AB-4AB0-BF43-CBE4A1FD910C}" uniqueName="4" name="Compliance_Rate_Perc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6CFBA2-C54F-4180-ABBE-183F8B5994BA}" name="Query5_Monthly_Procurement" displayName="Query5_Monthly_Procurement" ref="A1:C26" tableType="queryTable" totalsRowShown="0">
  <autoFilter ref="A1:C26" xr:uid="{6A6CFBA2-C54F-4180-ABBE-183F8B5994BA}"/>
  <tableColumns count="3">
    <tableColumn id="1" xr3:uid="{F9318898-FE62-4050-9111-60F0E45040CB}" uniqueName="1" name="Order_Month" queryTableFieldId="1" dataDxfId="5"/>
    <tableColumn id="2" xr3:uid="{353FA26F-1208-414F-A2BF-02DD4AA194D4}" uniqueName="2" name="Total_Orders" queryTableFieldId="2"/>
    <tableColumn id="3" xr3:uid="{F593489B-A4D8-48EE-AF48-F4287A318375}" uniqueName="3" name="Monthly_Spen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0534A-5647-448F-99F4-C6A18DDD165F}" name="Query4_Defect_Rate" displayName="Query4_Defect_Rate" ref="A1:D6" tableType="queryTable" totalsRowShown="0">
  <autoFilter ref="A1:D6" xr:uid="{27D0534A-5647-448F-99F4-C6A18DDD165F}"/>
  <tableColumns count="4">
    <tableColumn id="1" xr3:uid="{BEECDB22-BFB7-4566-8CA4-2488AADCCF20}" uniqueName="1" name="Supplier" queryTableFieldId="1" dataDxfId="6"/>
    <tableColumn id="2" xr3:uid="{3ADF51AD-A698-4068-A79B-A9FC6F2D23EB}" uniqueName="2" name="Total_Units" queryTableFieldId="2"/>
    <tableColumn id="3" xr3:uid="{FB2E2F09-D981-42A0-9728-AA7A7E208C61}" uniqueName="3" name="Total_Defective" queryTableFieldId="3"/>
    <tableColumn id="4" xr3:uid="{EA75CFE5-B9D4-465B-B0EA-2EEE087463C6}" uniqueName="4" name="Defect_Rate_Percen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49EA2-AF22-4D08-A390-09009B07B44E}" name="Query3_Cost_Savings" displayName="Query3_Cost_Savings" ref="A1:E6" tableType="queryTable" totalsRowShown="0">
  <autoFilter ref="A1:E6" xr:uid="{CD949EA2-AF22-4D08-A390-09009B07B44E}"/>
  <tableColumns count="5">
    <tableColumn id="1" xr3:uid="{4115BC31-D566-442C-9918-A6AACEFC008B}" uniqueName="1" name="Supplier" queryTableFieldId="1" dataDxfId="7"/>
    <tableColumn id="2" xr3:uid="{52F041B4-5F4D-4601-9BBA-24AE7898E63D}" uniqueName="2" name="Original_Cost" queryTableFieldId="2"/>
    <tableColumn id="3" xr3:uid="{888F74C4-CA08-4EB3-91D9-073AE02165D4}" uniqueName="3" name="Negotiated_Cost" queryTableFieldId="3"/>
    <tableColumn id="4" xr3:uid="{479E6BC5-BCCC-4D31-A9DF-234D7168981C}" uniqueName="4" name="Total_Savings" queryTableFieldId="4"/>
    <tableColumn id="5" xr3:uid="{8DF9231A-7A5D-42A2-A1F1-50993D15A9C8}" uniqueName="5" name="Savings_Perce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AAB9F7-56A5-49CB-8067-B494DD0489C3}" name="Query2_Delivery_Rate" displayName="Query2_Delivery_Rate" ref="A1:D6" tableType="queryTable" totalsRowShown="0">
  <autoFilter ref="A1:D6" xr:uid="{ABAAB9F7-56A5-49CB-8067-B494DD0489C3}"/>
  <tableColumns count="4">
    <tableColumn id="1" xr3:uid="{3561F66D-AB1B-410D-B4E2-0CD1CB7E5608}" uniqueName="1" name="Supplier" queryTableFieldId="1" dataDxfId="8"/>
    <tableColumn id="2" xr3:uid="{8F0D38B8-6B09-4AF5-AFE2-CE07188FD522}" uniqueName="2" name="Total_Orders" queryTableFieldId="2"/>
    <tableColumn id="3" xr3:uid="{30AADF71-F944-4200-83F5-FA80B8B275BB}" uniqueName="3" name="OnTime_Delivered" queryTableFieldId="3"/>
    <tableColumn id="4" xr3:uid="{FE933595-BCE1-4312-ADD3-ABC2939A9411}" uniqueName="4" name="Delivery_Rate_Percen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D52A-5659-4EDE-B95B-6BE16DB34EE7}" name="Query1_Total_Spend" displayName="Query1_Total_Spend" ref="A1:C6" tableType="queryTable" totalsRowShown="0">
  <autoFilter ref="A1:C6" xr:uid="{8E1DD52A-5659-4EDE-B95B-6BE16DB34EE7}"/>
  <tableColumns count="3">
    <tableColumn id="1" xr3:uid="{29614E33-EB52-43B8-BAD4-DBCEA3723E32}" uniqueName="1" name="Supplier" queryTableFieldId="1" dataDxfId="9"/>
    <tableColumn id="2" xr3:uid="{01A6B5DC-50C9-444A-89D6-2EE614262096}" uniqueName="2" name="Total_Orders" queryTableFieldId="2"/>
    <tableColumn id="3" xr3:uid="{6AF7B705-25D7-492B-8DB1-0F82A4B45FA1}" uniqueName="3" name="Total_Spen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1565-AA95-4AD8-8929-C743386E9931}">
  <dimension ref="A1:F6"/>
  <sheetViews>
    <sheetView tabSelected="1" workbookViewId="0">
      <selection activeCell="F1" sqref="F1:F1048576"/>
    </sheetView>
  </sheetViews>
  <sheetFormatPr defaultRowHeight="15"/>
  <cols>
    <col min="1" max="1" width="14.85546875" customWidth="1"/>
    <col min="2" max="2" width="16.42578125" customWidth="1"/>
    <col min="3" max="3" width="14.140625" customWidth="1"/>
    <col min="4" max="4" width="16.7109375" customWidth="1"/>
    <col min="5" max="5" width="13.85546875" customWidth="1"/>
    <col min="6" max="6" width="16" customWidth="1"/>
  </cols>
  <sheetData>
    <row r="1" spans="1:6" s="5" customFormat="1">
      <c r="A1" s="4" t="s">
        <v>0</v>
      </c>
      <c r="B1" s="5" t="s">
        <v>2</v>
      </c>
      <c r="C1" s="5" t="s">
        <v>21</v>
      </c>
      <c r="D1" s="5" t="s">
        <v>22</v>
      </c>
      <c r="E1" s="5" t="s">
        <v>23</v>
      </c>
      <c r="F1" s="5" t="s">
        <v>24</v>
      </c>
    </row>
    <row r="2" spans="1:6" ht="15.75">
      <c r="A2" s="6" t="s">
        <v>4</v>
      </c>
      <c r="B2" s="3">
        <f>VLOOKUP(A2,Query1_Total_Spend[],3,0)</f>
        <v>9851156.0600000005</v>
      </c>
      <c r="C2" s="3">
        <f>VLOOKUP(A2,Query2_Delivery_Rate[],4,0)</f>
        <v>72.290000000000006</v>
      </c>
      <c r="D2" s="3">
        <f>VLOOKUP(A2,Query3_Cost_Savings[],4,0)</f>
        <v>844980.18</v>
      </c>
      <c r="E2" s="3">
        <f>VLOOKUP(A2,Query4_Defect_Rate[],4,0)</f>
        <v>2.6</v>
      </c>
      <c r="F2" s="3">
        <f>VLOOKUP(A2,Query6_Compliance_Rate[],4,0)</f>
        <v>98.19</v>
      </c>
    </row>
    <row r="3" spans="1:6" ht="15.75">
      <c r="A3" s="6" t="s">
        <v>7</v>
      </c>
      <c r="B3" s="3">
        <f>VLOOKUP(A3,Query1_Total_Spend[],3,0)</f>
        <v>7839712.25</v>
      </c>
      <c r="C3" s="3">
        <f>VLOOKUP(A3,Query2_Delivery_Rate[],4,0)</f>
        <v>75.89</v>
      </c>
      <c r="D3" s="3">
        <f>VLOOKUP(A3,Query3_Cost_Savings[],4,0)</f>
        <v>688920.49</v>
      </c>
      <c r="E3" s="3">
        <f>VLOOKUP(A3,Query4_Defect_Rate[],4,0)</f>
        <v>1.81</v>
      </c>
      <c r="F3" s="3">
        <f>VLOOKUP(A3,Query6_Compliance_Rate[],4,0)</f>
        <v>93.62</v>
      </c>
    </row>
    <row r="4" spans="1:6" ht="15.75">
      <c r="A4" s="6" t="s">
        <v>6</v>
      </c>
      <c r="B4" s="3">
        <f>VLOOKUP(A4,Query1_Total_Spend[],3,0)</f>
        <v>8587921.7100000009</v>
      </c>
      <c r="C4" s="3">
        <f>VLOOKUP(A4,Query2_Delivery_Rate[],4,0)</f>
        <v>72.03</v>
      </c>
      <c r="D4" s="3">
        <f>VLOOKUP(A4,Query3_Cost_Savings[],4,0)</f>
        <v>725308.42</v>
      </c>
      <c r="E4" s="3">
        <f>VLOOKUP(A4,Query4_Defect_Rate[],4,0)</f>
        <v>4.45</v>
      </c>
      <c r="F4" s="3">
        <f>VLOOKUP(A4,Query6_Compliance_Rate[],4,0)</f>
        <v>86.01</v>
      </c>
    </row>
    <row r="5" spans="1:6" ht="15.75">
      <c r="A5" s="6" t="s">
        <v>3</v>
      </c>
      <c r="B5" s="3">
        <f>VLOOKUP(A5,Query1_Total_Spend[],3,0)</f>
        <v>9858665.9000000004</v>
      </c>
      <c r="C5" s="3">
        <f>VLOOKUP(A5,Query2_Delivery_Rate[],4,0)</f>
        <v>70.510000000000005</v>
      </c>
      <c r="D5" s="3">
        <f>VLOOKUP(A5,Query3_Cost_Savings[],4,0)</f>
        <v>889940.89</v>
      </c>
      <c r="E5" s="3">
        <f>VLOOKUP(A5,Query4_Defect_Rate[],4,0)</f>
        <v>7.67</v>
      </c>
      <c r="F5" s="3">
        <f>VLOOKUP(A5,Query6_Compliance_Rate[],4,0)</f>
        <v>75.64</v>
      </c>
    </row>
    <row r="6" spans="1:6" ht="15.75">
      <c r="A6" s="6" t="s">
        <v>5</v>
      </c>
      <c r="B6" s="3">
        <f>VLOOKUP(A6,Query1_Total_Spend[],3,0)</f>
        <v>9236240.4700000007</v>
      </c>
      <c r="C6" s="3">
        <f>VLOOKUP(A6,Query2_Delivery_Rate[],4,0)</f>
        <v>70.180000000000007</v>
      </c>
      <c r="D6" s="3">
        <f>VLOOKUP(A6,Query3_Cost_Savings[],4,0)</f>
        <v>781976.49</v>
      </c>
      <c r="E6" s="3">
        <f>VLOOKUP(A6,Query4_Defect_Rate[],4,0)</f>
        <v>10.83</v>
      </c>
      <c r="F6" s="3">
        <f>VLOOKUP(A6,Query6_Compliance_Rate[],4,0)</f>
        <v>60.82</v>
      </c>
    </row>
  </sheetData>
  <conditionalFormatting sqref="C2 D15 C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 C2 C6 E2 E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 D15 C6 E2:F2 E6:F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 F6">
    <cfRule type="cellIs" dxfId="2" priority="1" operator="lessThan">
      <formula>80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E499-2DCB-46BC-870A-73ABEA0FE307}">
  <dimension ref="A1:D6"/>
  <sheetViews>
    <sheetView workbookViewId="0">
      <selection sqref="A1:XFD1"/>
    </sheetView>
  </sheetViews>
  <sheetFormatPr defaultRowHeight="15"/>
  <cols>
    <col min="1" max="1" width="14.28515625" bestFit="1" customWidth="1"/>
    <col min="2" max="2" width="14.7109375" bestFit="1" customWidth="1"/>
    <col min="3" max="3" width="19.7109375" bestFit="1" customWidth="1"/>
    <col min="4" max="4" width="27" bestFit="1" customWidth="1"/>
  </cols>
  <sheetData>
    <row r="1" spans="1:4">
      <c r="A1" t="s">
        <v>0</v>
      </c>
      <c r="B1" t="s">
        <v>1</v>
      </c>
      <c r="C1" t="s">
        <v>19</v>
      </c>
      <c r="D1" t="s">
        <v>20</v>
      </c>
    </row>
    <row r="2" spans="1:4">
      <c r="A2" s="1" t="s">
        <v>4</v>
      </c>
      <c r="B2">
        <v>166</v>
      </c>
      <c r="C2">
        <v>163</v>
      </c>
      <c r="D2">
        <v>98.19</v>
      </c>
    </row>
    <row r="3" spans="1:4">
      <c r="A3" s="1" t="s">
        <v>7</v>
      </c>
      <c r="B3">
        <v>141</v>
      </c>
      <c r="C3">
        <v>132</v>
      </c>
      <c r="D3">
        <v>93.62</v>
      </c>
    </row>
    <row r="4" spans="1:4">
      <c r="A4" s="1" t="s">
        <v>6</v>
      </c>
      <c r="B4">
        <v>143</v>
      </c>
      <c r="C4">
        <v>123</v>
      </c>
      <c r="D4">
        <v>86.01</v>
      </c>
    </row>
    <row r="5" spans="1:4">
      <c r="A5" s="1" t="s">
        <v>3</v>
      </c>
      <c r="B5">
        <v>156</v>
      </c>
      <c r="C5">
        <v>118</v>
      </c>
      <c r="D5">
        <v>75.64</v>
      </c>
    </row>
    <row r="6" spans="1:4">
      <c r="A6" s="1" t="s">
        <v>5</v>
      </c>
      <c r="B6">
        <v>171</v>
      </c>
      <c r="C6">
        <v>104</v>
      </c>
      <c r="D6">
        <v>60.82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7937-DCDA-41A3-9AA5-F861C88FFF8C}">
  <dimension ref="A1:C26"/>
  <sheetViews>
    <sheetView workbookViewId="0">
      <selection sqref="A1:XFD1"/>
    </sheetView>
  </sheetViews>
  <sheetFormatPr defaultRowHeight="15"/>
  <cols>
    <col min="1" max="1" width="15.5703125" bestFit="1" customWidth="1"/>
    <col min="2" max="2" width="14.7109375" bestFit="1" customWidth="1"/>
    <col min="3" max="3" width="17.5703125" bestFit="1" customWidth="1"/>
  </cols>
  <sheetData>
    <row r="1" spans="1:3">
      <c r="A1" t="s">
        <v>17</v>
      </c>
      <c r="B1" t="s">
        <v>1</v>
      </c>
      <c r="C1" t="s">
        <v>18</v>
      </c>
    </row>
    <row r="2" spans="1:3">
      <c r="A2" s="2">
        <v>44562</v>
      </c>
      <c r="B2">
        <v>31</v>
      </c>
      <c r="C2">
        <v>1536378.93</v>
      </c>
    </row>
    <row r="3" spans="1:3">
      <c r="A3" s="2">
        <v>44593</v>
      </c>
      <c r="B3">
        <v>27</v>
      </c>
      <c r="C3">
        <v>1377514.66</v>
      </c>
    </row>
    <row r="4" spans="1:3">
      <c r="A4" s="2">
        <v>44621</v>
      </c>
      <c r="B4">
        <v>41</v>
      </c>
      <c r="C4">
        <v>2592704.31</v>
      </c>
    </row>
    <row r="5" spans="1:3">
      <c r="A5" s="2">
        <v>44652</v>
      </c>
      <c r="B5">
        <v>35</v>
      </c>
      <c r="C5">
        <v>1928650.91</v>
      </c>
    </row>
    <row r="6" spans="1:3">
      <c r="A6" s="2">
        <v>44682</v>
      </c>
      <c r="B6">
        <v>25</v>
      </c>
      <c r="C6">
        <v>1181945.98</v>
      </c>
    </row>
    <row r="7" spans="1:3">
      <c r="A7" s="2">
        <v>44713</v>
      </c>
      <c r="B7">
        <v>34</v>
      </c>
      <c r="C7">
        <v>1556825.02</v>
      </c>
    </row>
    <row r="8" spans="1:3">
      <c r="A8" s="2">
        <v>44743</v>
      </c>
      <c r="B8">
        <v>27</v>
      </c>
      <c r="C8">
        <v>1293596.1100000001</v>
      </c>
    </row>
    <row r="9" spans="1:3">
      <c r="A9" s="2">
        <v>44774</v>
      </c>
      <c r="B9">
        <v>43</v>
      </c>
      <c r="C9">
        <v>2329232.23</v>
      </c>
    </row>
    <row r="10" spans="1:3">
      <c r="A10" s="2">
        <v>44805</v>
      </c>
      <c r="B10">
        <v>43</v>
      </c>
      <c r="C10">
        <v>2175996.89</v>
      </c>
    </row>
    <row r="11" spans="1:3">
      <c r="A11" s="2">
        <v>44835</v>
      </c>
      <c r="B11">
        <v>31</v>
      </c>
      <c r="C11">
        <v>1782151.43</v>
      </c>
    </row>
    <row r="12" spans="1:3">
      <c r="A12" s="2">
        <v>44866</v>
      </c>
      <c r="B12">
        <v>29</v>
      </c>
      <c r="C12">
        <v>1535245.54</v>
      </c>
    </row>
    <row r="13" spans="1:3">
      <c r="A13" s="2">
        <v>44896</v>
      </c>
      <c r="B13">
        <v>30</v>
      </c>
      <c r="C13">
        <v>2171086.65</v>
      </c>
    </row>
    <row r="14" spans="1:3">
      <c r="A14" s="2">
        <v>44927</v>
      </c>
      <c r="B14">
        <v>30</v>
      </c>
      <c r="C14">
        <v>2276857.9900000002</v>
      </c>
    </row>
    <row r="15" spans="1:3">
      <c r="A15" s="2">
        <v>44958</v>
      </c>
      <c r="B15">
        <v>28</v>
      </c>
      <c r="C15">
        <v>1773987.81</v>
      </c>
    </row>
    <row r="16" spans="1:3">
      <c r="A16" s="2">
        <v>44986</v>
      </c>
      <c r="B16">
        <v>39</v>
      </c>
      <c r="C16">
        <v>2744443.66</v>
      </c>
    </row>
    <row r="17" spans="1:3">
      <c r="A17" s="2">
        <v>45017</v>
      </c>
      <c r="B17">
        <v>33</v>
      </c>
      <c r="C17">
        <v>1709713.8</v>
      </c>
    </row>
    <row r="18" spans="1:3">
      <c r="A18" s="2">
        <v>45047</v>
      </c>
      <c r="B18">
        <v>20</v>
      </c>
      <c r="C18">
        <v>1511826.2</v>
      </c>
    </row>
    <row r="19" spans="1:3">
      <c r="A19" s="2">
        <v>45078</v>
      </c>
      <c r="B19">
        <v>26</v>
      </c>
      <c r="C19">
        <v>1396136.4</v>
      </c>
    </row>
    <row r="20" spans="1:3">
      <c r="A20" s="2">
        <v>45108</v>
      </c>
      <c r="B20">
        <v>44</v>
      </c>
      <c r="C20">
        <v>2365673.85</v>
      </c>
    </row>
    <row r="21" spans="1:3">
      <c r="A21" s="2">
        <v>45139</v>
      </c>
      <c r="B21">
        <v>31</v>
      </c>
      <c r="C21">
        <v>2010221.33</v>
      </c>
    </row>
    <row r="22" spans="1:3">
      <c r="A22" s="2">
        <v>45170</v>
      </c>
      <c r="B22">
        <v>29</v>
      </c>
      <c r="C22">
        <v>2230645.2799999998</v>
      </c>
    </row>
    <row r="23" spans="1:3">
      <c r="A23" s="2">
        <v>45200</v>
      </c>
      <c r="B23">
        <v>29</v>
      </c>
      <c r="C23">
        <v>1869843.2</v>
      </c>
    </row>
    <row r="24" spans="1:3">
      <c r="A24" s="2">
        <v>45231</v>
      </c>
      <c r="B24">
        <v>44</v>
      </c>
      <c r="C24">
        <v>2583675.29</v>
      </c>
    </row>
    <row r="25" spans="1:3">
      <c r="A25" s="2">
        <v>45261</v>
      </c>
      <c r="B25">
        <v>26</v>
      </c>
      <c r="C25">
        <v>1270011.57</v>
      </c>
    </row>
    <row r="26" spans="1:3">
      <c r="A26" s="2">
        <v>45292</v>
      </c>
      <c r="B26">
        <v>2</v>
      </c>
      <c r="C26">
        <v>169331.35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4ADA-4374-4059-A0AD-3F5ADFC6A56D}">
  <dimension ref="A1:D6"/>
  <sheetViews>
    <sheetView workbookViewId="0">
      <selection sqref="A1:XFD1"/>
    </sheetView>
  </sheetViews>
  <sheetFormatPr defaultRowHeight="15"/>
  <cols>
    <col min="1" max="1" width="14.28515625" bestFit="1" customWidth="1"/>
    <col min="2" max="2" width="13.42578125" bestFit="1" customWidth="1"/>
    <col min="3" max="3" width="17.42578125" bestFit="1" customWidth="1"/>
    <col min="4" max="4" width="22.28515625" bestFit="1" customWidth="1"/>
  </cols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 s="1" t="s">
        <v>5</v>
      </c>
      <c r="B2">
        <v>181652</v>
      </c>
      <c r="C2">
        <v>19678</v>
      </c>
      <c r="D2">
        <v>10.83</v>
      </c>
    </row>
    <row r="3" spans="1:4">
      <c r="A3" s="1" t="s">
        <v>3</v>
      </c>
      <c r="B3">
        <v>180516</v>
      </c>
      <c r="C3">
        <v>13838</v>
      </c>
      <c r="D3">
        <v>7.67</v>
      </c>
    </row>
    <row r="4" spans="1:4">
      <c r="A4" s="1" t="s">
        <v>6</v>
      </c>
      <c r="B4">
        <v>157916</v>
      </c>
      <c r="C4">
        <v>7034</v>
      </c>
      <c r="D4">
        <v>4.45</v>
      </c>
    </row>
    <row r="5" spans="1:4">
      <c r="A5" s="1" t="s">
        <v>4</v>
      </c>
      <c r="B5">
        <v>180053</v>
      </c>
      <c r="C5">
        <v>4682</v>
      </c>
      <c r="D5">
        <v>2.6</v>
      </c>
    </row>
    <row r="6" spans="1:4">
      <c r="A6" s="1" t="s">
        <v>7</v>
      </c>
      <c r="B6">
        <v>150414</v>
      </c>
      <c r="C6">
        <v>2717</v>
      </c>
      <c r="D6">
        <v>1.81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F830-CE4E-42B9-A0F2-85D574D234AA}">
  <dimension ref="A1:E6"/>
  <sheetViews>
    <sheetView workbookViewId="0">
      <selection sqref="A1:XFD1"/>
    </sheetView>
  </sheetViews>
  <sheetFormatPr defaultRowHeight="15"/>
  <cols>
    <col min="1" max="1" width="14.28515625" bestFit="1" customWidth="1"/>
    <col min="2" max="2" width="15.140625" bestFit="1" customWidth="1"/>
    <col min="3" max="3" width="18.28515625" bestFit="1" customWidth="1"/>
    <col min="4" max="4" width="15.42578125" bestFit="1" customWidth="1"/>
    <col min="5" max="5" width="17.85546875" bestFit="1" customWidth="1"/>
  </cols>
  <sheetData>
    <row r="1" spans="1: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" t="s">
        <v>3</v>
      </c>
      <c r="B2">
        <v>10748606.789999999</v>
      </c>
      <c r="C2">
        <v>9858665.9000000004</v>
      </c>
      <c r="D2">
        <v>889940.89</v>
      </c>
      <c r="E2">
        <v>8.2799999999999994</v>
      </c>
    </row>
    <row r="3" spans="1:5">
      <c r="A3" s="1" t="s">
        <v>4</v>
      </c>
      <c r="B3">
        <v>10696136.24</v>
      </c>
      <c r="C3">
        <v>9851156.0600000005</v>
      </c>
      <c r="D3">
        <v>844980.18</v>
      </c>
      <c r="E3">
        <v>7.9</v>
      </c>
    </row>
    <row r="4" spans="1:5">
      <c r="A4" s="1" t="s">
        <v>5</v>
      </c>
      <c r="B4">
        <v>10018216.960000001</v>
      </c>
      <c r="C4">
        <v>9236240.4700000007</v>
      </c>
      <c r="D4">
        <v>781976.49</v>
      </c>
      <c r="E4">
        <v>7.81</v>
      </c>
    </row>
    <row r="5" spans="1:5">
      <c r="A5" s="1" t="s">
        <v>6</v>
      </c>
      <c r="B5">
        <v>9313230.1300000008</v>
      </c>
      <c r="C5">
        <v>8587921.7100000009</v>
      </c>
      <c r="D5">
        <v>725308.42</v>
      </c>
      <c r="E5">
        <v>7.79</v>
      </c>
    </row>
    <row r="6" spans="1:5">
      <c r="A6" s="1" t="s">
        <v>7</v>
      </c>
      <c r="B6">
        <v>8528632.7400000002</v>
      </c>
      <c r="C6">
        <v>7839712.25</v>
      </c>
      <c r="D6">
        <v>688920.49</v>
      </c>
      <c r="E6">
        <v>8.08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3AA9-C4EB-4DD5-852F-F1C1F469B400}">
  <dimension ref="A1:D6"/>
  <sheetViews>
    <sheetView workbookViewId="0">
      <selection sqref="A1:XFD1"/>
    </sheetView>
  </sheetViews>
  <sheetFormatPr defaultRowHeight="15"/>
  <cols>
    <col min="1" max="1" width="14.28515625" bestFit="1" customWidth="1"/>
    <col min="2" max="2" width="14.7109375" bestFit="1" customWidth="1"/>
    <col min="3" max="3" width="20.28515625" bestFit="1" customWidth="1"/>
    <col min="4" max="4" width="24" bestFit="1" customWidth="1"/>
  </cols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s="1" t="s">
        <v>7</v>
      </c>
      <c r="B2">
        <v>141</v>
      </c>
      <c r="C2">
        <v>107</v>
      </c>
      <c r="D2">
        <v>75.89</v>
      </c>
    </row>
    <row r="3" spans="1:4">
      <c r="A3" s="1" t="s">
        <v>4</v>
      </c>
      <c r="B3">
        <v>166</v>
      </c>
      <c r="C3">
        <v>120</v>
      </c>
      <c r="D3">
        <v>72.290000000000006</v>
      </c>
    </row>
    <row r="4" spans="1:4">
      <c r="A4" s="1" t="s">
        <v>6</v>
      </c>
      <c r="B4">
        <v>143</v>
      </c>
      <c r="C4">
        <v>103</v>
      </c>
      <c r="D4">
        <v>72.03</v>
      </c>
    </row>
    <row r="5" spans="1:4">
      <c r="A5" s="1" t="s">
        <v>3</v>
      </c>
      <c r="B5">
        <v>156</v>
      </c>
      <c r="C5">
        <v>110</v>
      </c>
      <c r="D5">
        <v>70.510000000000005</v>
      </c>
    </row>
    <row r="6" spans="1:4">
      <c r="A6" s="1" t="s">
        <v>5</v>
      </c>
      <c r="B6">
        <v>171</v>
      </c>
      <c r="C6">
        <v>120</v>
      </c>
      <c r="D6">
        <v>70.180000000000007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9C8F-9F4C-4524-9B4C-962B4514B20D}">
  <dimension ref="A1:C6"/>
  <sheetViews>
    <sheetView workbookViewId="0">
      <selection activeCell="E22" sqref="E22"/>
    </sheetView>
  </sheetViews>
  <sheetFormatPr defaultRowHeight="15"/>
  <cols>
    <col min="1" max="1" width="14.28515625" bestFit="1" customWidth="1"/>
    <col min="2" max="2" width="14.7109375" bestFit="1" customWidth="1"/>
    <col min="3" max="3" width="1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156</v>
      </c>
      <c r="C2">
        <v>9858665.9000000004</v>
      </c>
    </row>
    <row r="3" spans="1:3">
      <c r="A3" s="1" t="s">
        <v>4</v>
      </c>
      <c r="B3">
        <v>166</v>
      </c>
      <c r="C3">
        <v>9851156.0600000005</v>
      </c>
    </row>
    <row r="4" spans="1:3">
      <c r="A4" s="1" t="s">
        <v>5</v>
      </c>
      <c r="B4">
        <v>171</v>
      </c>
      <c r="C4">
        <v>9236240.4700000007</v>
      </c>
    </row>
    <row r="5" spans="1:3">
      <c r="A5" s="1" t="s">
        <v>6</v>
      </c>
      <c r="B5">
        <v>143</v>
      </c>
      <c r="C5">
        <v>8587921.7100000009</v>
      </c>
    </row>
    <row r="6" spans="1:3">
      <c r="A6" s="1" t="s">
        <v>7</v>
      </c>
      <c r="B6">
        <v>141</v>
      </c>
      <c r="C6">
        <v>7839712.25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73C9-79A6-4200-95FC-3CC88AEF596A}">
  <dimension ref="A1"/>
  <sheetViews>
    <sheetView workbookViewId="0">
      <selection activeCell="E4" sqref="E4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BA50D-6D5A-44ED-989A-6384033BD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Vendor_Scorecard</vt:lpstr>
      <vt:lpstr>Query6_Compliance_Rate</vt:lpstr>
      <vt:lpstr>Query5_Monthly_Procurement</vt:lpstr>
      <vt:lpstr>Query4_Defect_Rate</vt:lpstr>
      <vt:lpstr>Query3_Cost_Savings</vt:lpstr>
      <vt:lpstr>Query2_Delivery_Rate</vt:lpstr>
      <vt:lpstr>Query1_Total_Spend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Halabanur</dc:creator>
  <cp:lastModifiedBy>Ankita Halabanur</cp:lastModifiedBy>
  <dcterms:created xsi:type="dcterms:W3CDTF">2026-06-14T05:25:56Z</dcterms:created>
  <dcterms:modified xsi:type="dcterms:W3CDTF">2026-06-14T06:14:49Z</dcterms:modified>
</cp:coreProperties>
</file>